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达人数据" sheetId="1" state="visible" r:id="rId1"/>
    <sheet name="字段说明" sheetId="2" state="visible" r:id="rId2"/>
  </sheets>
  <definedNames>
    <definedName name="_xlnm._FilterDatabase" localSheetId="0" hidden="1">'达人数据'!$A$1:$Z$21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¥#,##0.00"/>
  </numFmts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name val="微软雅黑"/>
        <color rgb="009C0006"/>
        <sz val="10"/>
      </font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3" customWidth="1" min="3" max="3"/>
    <col width="13" customWidth="1" min="4" max="4"/>
    <col width="12" customWidth="1" min="5" max="5"/>
    <col width="12" customWidth="1" min="6" max="6"/>
    <col width="11" customWidth="1" min="7" max="7"/>
    <col width="6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10" customWidth="1" min="14" max="14"/>
    <col width="12" customWidth="1" min="15" max="15"/>
    <col width="12" customWidth="1" min="16" max="16"/>
    <col width="13" customWidth="1" min="17" max="17"/>
    <col width="13" customWidth="1" min="18" max="18"/>
    <col width="13" customWidth="1" min="19" max="19"/>
    <col width="12" customWidth="1" min="20" max="20"/>
    <col width="11" customWidth="1" min="21" max="21"/>
    <col width="11" customWidth="1" min="22" max="22"/>
    <col width="13" customWidth="1" min="23" max="23"/>
    <col width="13" customWidth="1" min="24" max="24"/>
    <col width="12" customWidth="1" min="25" max="25"/>
    <col width="10" customWidth="1" min="26" max="26"/>
  </cols>
  <sheetData>
    <row r="1" ht="34" customHeight="1">
      <c r="A1" s="1" t="inlineStr">
        <is>
          <t>达人昵称</t>
        </is>
      </c>
      <c r="B1" s="1" t="inlineStr">
        <is>
          <t>小红书号</t>
        </is>
      </c>
      <c r="C1" s="1" t="inlineStr">
        <is>
          <t>所属机构（MCN）</t>
        </is>
      </c>
      <c r="D1" s="1" t="inlineStr">
        <is>
          <t>是否New KOL（近3个月未合作过屿光）</t>
        </is>
      </c>
      <c r="E1" s="1" t="inlineStr">
        <is>
          <t>平台图文参考价（元）</t>
        </is>
      </c>
      <c r="F1" s="1" t="inlineStr">
        <is>
          <t>平台视频参考价（元）</t>
        </is>
      </c>
      <c r="G1" s="1" t="inlineStr">
        <is>
          <t>Type（内容类目）</t>
        </is>
      </c>
      <c r="H1" s="1" t="inlineStr">
        <is>
          <t>Tier</t>
        </is>
      </c>
      <c r="I1" s="1" t="inlineStr">
        <is>
          <t>粉丝数（万）</t>
        </is>
      </c>
      <c r="J1" s="1" t="inlineStr">
        <is>
          <t>18-24岁粉丝占比</t>
        </is>
      </c>
      <c r="K1" s="1" t="inlineStr">
        <is>
          <t>＞44岁粉丝占比</t>
        </is>
      </c>
      <c r="L1" s="1" t="inlineStr">
        <is>
          <t>女粉占比</t>
        </is>
      </c>
      <c r="M1" s="1" t="inlineStr">
        <is>
          <t>CTR</t>
        </is>
      </c>
      <c r="N1" s="1" t="inlineStr">
        <is>
          <t>CPV（元）</t>
        </is>
      </c>
      <c r="O1" s="1" t="inlineStr">
        <is>
          <t>合作笔记平均CPE（元）</t>
        </is>
      </c>
      <c r="P1" s="1" t="inlineStr">
        <is>
          <t>蒲公英前选CPUV（元）</t>
        </is>
      </c>
      <c r="Q1" s="1" t="inlineStr">
        <is>
          <t>合作笔记曝光数中位值（近30天）</t>
        </is>
      </c>
      <c r="R1" s="1" t="inlineStr">
        <is>
          <t>合作笔记阅读数中位值（近30天）</t>
        </is>
      </c>
      <c r="S1" s="1" t="inlineStr">
        <is>
          <t>合作笔记互动量中位值（近30天）</t>
        </is>
      </c>
      <c r="T1" s="1" t="inlineStr">
        <is>
          <t>外溢进店中位数（近30天）</t>
        </is>
      </c>
      <c r="U1" s="1" t="inlineStr">
        <is>
          <t>阅读来源-发现页占比</t>
        </is>
      </c>
      <c r="V1" s="1" t="inlineStr">
        <is>
          <t>阅读来源-搜索页占比</t>
        </is>
      </c>
      <c r="W1" s="1" t="inlineStr">
        <is>
          <t>前选CPV优于行业top50%-图文</t>
        </is>
      </c>
      <c r="X1" s="1" t="inlineStr">
        <is>
          <t>前选CPV优于行业top50%-视频</t>
        </is>
      </c>
      <c r="Y1" s="1" t="inlineStr">
        <is>
          <t>主营内容形式</t>
        </is>
      </c>
      <c r="Z1" s="1" t="inlineStr">
        <is>
          <t>近90天合作笔记数</t>
        </is>
      </c>
    </row>
    <row r="2">
      <c r="A2" s="2" t="inlineStr">
        <is>
          <t>桃桃吃梨</t>
        </is>
      </c>
      <c r="B2" s="2" t="inlineStr">
        <is>
          <t>82319044</t>
        </is>
      </c>
      <c r="C2" s="2" t="n"/>
      <c r="D2" s="2" t="inlineStr">
        <is>
          <t>Y</t>
        </is>
      </c>
      <c r="E2" s="3" t="n">
        <v>9500</v>
      </c>
      <c r="F2" s="3" t="n">
        <v>14000</v>
      </c>
      <c r="G2" s="2" t="inlineStr">
        <is>
          <t>Beauty</t>
        </is>
      </c>
      <c r="H2" s="2" t="inlineStr">
        <is>
          <t>T3</t>
        </is>
      </c>
      <c r="I2" s="4" t="n">
        <v>15.6</v>
      </c>
      <c r="J2" s="5" t="n">
        <v>0.483</v>
      </c>
      <c r="K2" s="5" t="n">
        <v>0.048</v>
      </c>
      <c r="L2" s="5" t="n">
        <v>0.9419999999999999</v>
      </c>
      <c r="M2" s="5" t="n">
        <v>0.113</v>
      </c>
      <c r="N2" s="6" t="n">
        <v>0.99</v>
      </c>
      <c r="O2" s="6" t="n">
        <v>8.23</v>
      </c>
      <c r="P2" s="6" t="n">
        <v>9.41</v>
      </c>
      <c r="Q2" s="3" t="n">
        <v>125002</v>
      </c>
      <c r="R2" s="3" t="n">
        <v>14164</v>
      </c>
      <c r="S2" s="3" t="n">
        <v>1701</v>
      </c>
      <c r="T2" s="3" t="n">
        <v>1488</v>
      </c>
      <c r="U2" s="5" t="n">
        <v>0.791</v>
      </c>
      <c r="V2" s="5" t="n">
        <v>0.079</v>
      </c>
      <c r="W2" s="7" t="inlineStr">
        <is>
          <t>-</t>
        </is>
      </c>
      <c r="X2" s="8" t="n">
        <v>0.5081</v>
      </c>
      <c r="Y2" s="2" t="inlineStr">
        <is>
          <t>图文为主</t>
        </is>
      </c>
      <c r="Z2" s="3" t="n">
        <v>6</v>
      </c>
    </row>
    <row r="3">
      <c r="A3" s="2" t="inlineStr">
        <is>
          <t>一颗软梨</t>
        </is>
      </c>
      <c r="B3" s="2" t="inlineStr">
        <is>
          <t>77345560</t>
        </is>
      </c>
      <c r="C3" s="2" t="n"/>
      <c r="D3" s="2" t="inlineStr">
        <is>
          <t>Y</t>
        </is>
      </c>
      <c r="E3" s="3" t="n">
        <v>7200</v>
      </c>
      <c r="F3" s="3" t="n">
        <v>11000</v>
      </c>
      <c r="G3" s="2" t="inlineStr">
        <is>
          <t>Beauty</t>
        </is>
      </c>
      <c r="H3" s="2" t="inlineStr">
        <is>
          <t>T3</t>
        </is>
      </c>
      <c r="I3" s="4" t="n">
        <v>12.8</v>
      </c>
      <c r="J3" s="5" t="n">
        <v>0.52</v>
      </c>
      <c r="K3" s="5" t="n">
        <v>0.031</v>
      </c>
      <c r="L3" s="5" t="n">
        <v>0.958</v>
      </c>
      <c r="M3" s="5" t="n">
        <v>0.126</v>
      </c>
      <c r="N3" s="6" t="n">
        <v>0.8100000000000001</v>
      </c>
      <c r="O3" s="6" t="n">
        <v>6.94</v>
      </c>
      <c r="P3" s="6" t="n">
        <v>8.869999999999999</v>
      </c>
      <c r="Q3" s="3" t="n">
        <v>96874</v>
      </c>
      <c r="R3" s="3" t="n">
        <v>12203</v>
      </c>
      <c r="S3" s="3" t="n">
        <v>1038</v>
      </c>
      <c r="T3" s="3" t="n">
        <v>1245</v>
      </c>
      <c r="U3" s="5" t="n">
        <v>0.776</v>
      </c>
      <c r="V3" s="5" t="n">
        <v>0.08400000000000001</v>
      </c>
      <c r="W3" s="8" t="n">
        <v>0.6212</v>
      </c>
      <c r="X3" s="7" t="inlineStr">
        <is>
          <t>-</t>
        </is>
      </c>
      <c r="Y3" s="2" t="inlineStr">
        <is>
          <t>图文为主</t>
        </is>
      </c>
      <c r="Z3" s="3" t="n">
        <v>5</v>
      </c>
    </row>
    <row r="4">
      <c r="A4" s="2" t="inlineStr">
        <is>
          <t>Mira的护肤手账</t>
        </is>
      </c>
      <c r="B4" s="2" t="inlineStr">
        <is>
          <t>66120298</t>
        </is>
      </c>
      <c r="C4" s="2" t="inlineStr">
        <is>
          <t>声量文化</t>
        </is>
      </c>
      <c r="D4" s="2" t="inlineStr">
        <is>
          <t>N</t>
        </is>
      </c>
      <c r="E4" s="3" t="n">
        <v>16800</v>
      </c>
      <c r="F4" s="3" t="n">
        <v>24000</v>
      </c>
      <c r="G4" s="2" t="inlineStr">
        <is>
          <t>Beauty</t>
        </is>
      </c>
      <c r="H4" s="2" t="inlineStr">
        <is>
          <t>T2</t>
        </is>
      </c>
      <c r="I4" s="4" t="n">
        <v>28.4</v>
      </c>
      <c r="J4" s="5" t="n">
        <v>0.36</v>
      </c>
      <c r="K4" s="5" t="n">
        <v>0.031</v>
      </c>
      <c r="L4" s="5" t="n">
        <v>0.9330000000000001</v>
      </c>
      <c r="M4" s="5" t="n">
        <v>0.146</v>
      </c>
      <c r="N4" s="6" t="n">
        <v>1.14</v>
      </c>
      <c r="O4" s="6" t="n">
        <v>13.48</v>
      </c>
      <c r="P4" s="7" t="n"/>
      <c r="Q4" s="3" t="n">
        <v>210500</v>
      </c>
      <c r="R4" s="3" t="n">
        <v>30733</v>
      </c>
      <c r="S4" s="3" t="n">
        <v>2871</v>
      </c>
      <c r="T4" s="3" t="n">
        <v>2106</v>
      </c>
      <c r="U4" s="5" t="n">
        <v>0.792</v>
      </c>
      <c r="V4" s="5" t="n">
        <v>0.08799999999999999</v>
      </c>
      <c r="W4" s="7" t="inlineStr">
        <is>
          <t>-</t>
        </is>
      </c>
      <c r="X4" s="8" t="n">
        <v>0.5517</v>
      </c>
      <c r="Y4" s="2" t="inlineStr">
        <is>
          <t>图文视频均衡</t>
        </is>
      </c>
      <c r="Z4" s="3" t="n">
        <v>11</v>
      </c>
    </row>
    <row r="5">
      <c r="A5" s="2" t="inlineStr">
        <is>
          <t>早八小满</t>
        </is>
      </c>
      <c r="B5" s="2" t="inlineStr">
        <is>
          <t>55083341</t>
        </is>
      </c>
      <c r="C5" s="2" t="n"/>
      <c r="D5" s="2" t="inlineStr">
        <is>
          <t>Y</t>
        </is>
      </c>
      <c r="E5" s="3" t="n">
        <v>4800</v>
      </c>
      <c r="F5" s="7" t="n"/>
      <c r="G5" s="2" t="inlineStr">
        <is>
          <t>Beauty</t>
        </is>
      </c>
      <c r="H5" s="2" t="inlineStr">
        <is>
          <t>T3</t>
        </is>
      </c>
      <c r="I5" s="4" t="n">
        <v>8.9</v>
      </c>
      <c r="J5" s="5" t="n">
        <v>0.571</v>
      </c>
      <c r="K5" s="5" t="n">
        <v>0.022</v>
      </c>
      <c r="L5" s="5" t="n">
        <v>0.9360000000000001</v>
      </c>
      <c r="M5" s="5" t="n">
        <v>0.152</v>
      </c>
      <c r="N5" s="6" t="n">
        <v>0.62</v>
      </c>
      <c r="O5" s="6" t="n">
        <v>5.11</v>
      </c>
      <c r="P5" s="6" t="n">
        <v>7.34</v>
      </c>
      <c r="Q5" s="3" t="n">
        <v>58210</v>
      </c>
      <c r="R5" s="3" t="n">
        <v>8844</v>
      </c>
      <c r="S5" s="3" t="n">
        <v>941</v>
      </c>
      <c r="T5" s="3" t="n">
        <v>766</v>
      </c>
      <c r="U5" s="5" t="n">
        <v>0.745</v>
      </c>
      <c r="V5" s="5" t="n">
        <v>0.102</v>
      </c>
      <c r="W5" s="8" t="n">
        <v>0.7104</v>
      </c>
      <c r="X5" s="8" t="n">
        <v>0.4633</v>
      </c>
      <c r="Y5" s="2" t="inlineStr">
        <is>
          <t>图文为主</t>
        </is>
      </c>
      <c r="Z5" s="3" t="n">
        <v>4</v>
      </c>
    </row>
    <row r="6">
      <c r="A6" s="2" t="inlineStr">
        <is>
          <t>美丽研习社官方号</t>
        </is>
      </c>
      <c r="B6" s="2" t="inlineStr">
        <is>
          <t>44000012</t>
        </is>
      </c>
      <c r="C6" s="2" t="inlineStr">
        <is>
          <t>美丽研习社</t>
        </is>
      </c>
      <c r="D6" s="2" t="inlineStr">
        <is>
          <t>N</t>
        </is>
      </c>
      <c r="E6" s="3" t="n">
        <v>26000</v>
      </c>
      <c r="F6" s="3" t="n">
        <v>38000</v>
      </c>
      <c r="G6" s="2" t="inlineStr">
        <is>
          <t>Beauty</t>
        </is>
      </c>
      <c r="H6" s="2" t="inlineStr">
        <is>
          <t>T2</t>
        </is>
      </c>
      <c r="I6" s="4" t="n">
        <v>51.2</v>
      </c>
      <c r="J6" s="5" t="n">
        <v>0.29</v>
      </c>
      <c r="K6" s="5" t="n">
        <v>0.121</v>
      </c>
      <c r="L6" s="5" t="n">
        <v>0.874</v>
      </c>
      <c r="M6" s="5" t="n">
        <v>0.041</v>
      </c>
      <c r="N6" s="6" t="n">
        <v>2.87</v>
      </c>
      <c r="O6" s="6" t="n">
        <v>41.3</v>
      </c>
      <c r="P6" s="6" t="n">
        <v>18.52</v>
      </c>
      <c r="Q6" s="3" t="n">
        <v>632914</v>
      </c>
      <c r="R6" s="3" t="n">
        <v>25949</v>
      </c>
      <c r="S6" s="3" t="n">
        <v>629</v>
      </c>
      <c r="T6" s="3" t="n">
        <v>877</v>
      </c>
      <c r="U6" s="5" t="n">
        <v>0.905</v>
      </c>
      <c r="V6" s="5" t="n">
        <v>0.021</v>
      </c>
      <c r="W6" s="7" t="inlineStr">
        <is>
          <t>-</t>
        </is>
      </c>
      <c r="X6" s="7" t="inlineStr">
        <is>
          <t>-</t>
        </is>
      </c>
      <c r="Y6" s="2" t="inlineStr">
        <is>
          <t>视频为主</t>
        </is>
      </c>
      <c r="Z6" s="3" t="n">
        <v>3</v>
      </c>
    </row>
    <row r="7">
      <c r="A7" s="2" t="inlineStr">
        <is>
          <t>一颗糖Sugar</t>
        </is>
      </c>
      <c r="B7" s="2" t="inlineStr">
        <is>
          <t>61280037</t>
        </is>
      </c>
      <c r="C7" s="2" t="inlineStr">
        <is>
          <t>启明星传媒</t>
        </is>
      </c>
      <c r="D7" s="2" t="inlineStr">
        <is>
          <t>N</t>
        </is>
      </c>
      <c r="E7" s="3" t="n">
        <v>14500</v>
      </c>
      <c r="F7" s="3" t="n">
        <v>21000</v>
      </c>
      <c r="G7" s="2" t="inlineStr">
        <is>
          <t>Lifestyle</t>
        </is>
      </c>
      <c r="H7" s="2" t="inlineStr">
        <is>
          <t>T3</t>
        </is>
      </c>
      <c r="I7" s="4" t="n">
        <v>19.7</v>
      </c>
      <c r="J7" s="5" t="n">
        <v>0.33</v>
      </c>
      <c r="K7" s="5" t="n">
        <v>0.076</v>
      </c>
      <c r="L7" s="5" t="n">
        <v>0.902</v>
      </c>
      <c r="M7" s="5" t="n">
        <v>0.08799999999999999</v>
      </c>
      <c r="N7" s="6" t="n">
        <v>1.32</v>
      </c>
      <c r="O7" s="6" t="n">
        <v>12.06</v>
      </c>
      <c r="P7" s="6" t="n">
        <v>11.9</v>
      </c>
      <c r="Q7" s="3" t="n">
        <v>109785</v>
      </c>
      <c r="R7" s="3" t="n">
        <v>9662</v>
      </c>
      <c r="S7" s="3" t="n">
        <v>1202</v>
      </c>
      <c r="T7" s="7" t="inlineStr">
        <is>
          <t>-</t>
        </is>
      </c>
      <c r="U7" s="5" t="n">
        <v>0.8120000000000001</v>
      </c>
      <c r="V7" s="5" t="n">
        <v>0.065</v>
      </c>
      <c r="W7" s="8" t="n">
        <v>0.3841</v>
      </c>
      <c r="X7" s="7" t="inlineStr">
        <is>
          <t>-</t>
        </is>
      </c>
      <c r="Y7" s="2" t="inlineStr">
        <is>
          <t>图文视频均衡</t>
        </is>
      </c>
      <c r="Z7" s="3" t="n">
        <v>7</v>
      </c>
    </row>
    <row r="8">
      <c r="A8" s="2" t="inlineStr">
        <is>
          <t>麦浪MaiLang</t>
        </is>
      </c>
      <c r="B8" s="2" t="inlineStr">
        <is>
          <t>61280355</t>
        </is>
      </c>
      <c r="C8" s="2" t="inlineStr">
        <is>
          <t>启明星传媒</t>
        </is>
      </c>
      <c r="D8" s="2" t="inlineStr">
        <is>
          <t>Y</t>
        </is>
      </c>
      <c r="E8" s="3" t="n">
        <v>13800</v>
      </c>
      <c r="F8" s="3" t="n">
        <v>19800</v>
      </c>
      <c r="G8" s="2" t="inlineStr">
        <is>
          <t>Beauty</t>
        </is>
      </c>
      <c r="H8" s="2" t="inlineStr">
        <is>
          <t>T3</t>
        </is>
      </c>
      <c r="I8" s="4" t="n">
        <v>17.3</v>
      </c>
      <c r="J8" s="5" t="n">
        <v>0.442</v>
      </c>
      <c r="K8" s="5" t="n">
        <v>0.059</v>
      </c>
      <c r="L8" s="5" t="n">
        <v>0.951</v>
      </c>
      <c r="M8" s="5" t="n">
        <v>0.104</v>
      </c>
      <c r="N8" s="6" t="n">
        <v>0.9399999999999999</v>
      </c>
      <c r="O8" s="6" t="n">
        <v>9.880000000000001</v>
      </c>
      <c r="P8" s="6" t="n">
        <v>10.42</v>
      </c>
      <c r="Q8" s="3" t="n">
        <v>147208</v>
      </c>
      <c r="R8" s="3" t="n">
        <v>15296</v>
      </c>
      <c r="S8" s="3" t="n">
        <v>1396</v>
      </c>
      <c r="T8" s="3" t="n">
        <v>1631</v>
      </c>
      <c r="U8" s="5" t="n">
        <v>0.778</v>
      </c>
      <c r="V8" s="5" t="n">
        <v>0.091</v>
      </c>
      <c r="W8" s="8" t="n">
        <v>0.5236</v>
      </c>
      <c r="X8" s="8" t="n">
        <v>0.4019</v>
      </c>
      <c r="Y8" s="2" t="inlineStr">
        <is>
          <t>图文为主</t>
        </is>
      </c>
      <c r="Z8" s="3" t="n">
        <v>6</v>
      </c>
    </row>
    <row r="9">
      <c r="A9" s="2" t="inlineStr">
        <is>
          <t>山茶开在冬天</t>
        </is>
      </c>
      <c r="B9" s="2" t="inlineStr">
        <is>
          <t>30258817</t>
        </is>
      </c>
      <c r="C9" s="2" t="n"/>
      <c r="D9" s="2" t="inlineStr">
        <is>
          <t>Y</t>
        </is>
      </c>
      <c r="E9" s="3" t="n">
        <v>8800</v>
      </c>
      <c r="F9" s="3" t="n">
        <v>13500</v>
      </c>
      <c r="G9" s="2" t="inlineStr">
        <is>
          <t>Beauty</t>
        </is>
      </c>
      <c r="H9" s="2" t="inlineStr">
        <is>
          <t>T3</t>
        </is>
      </c>
      <c r="I9" s="4" t="n">
        <v>11.4</v>
      </c>
      <c r="J9" s="5" t="n">
        <v>0.163</v>
      </c>
      <c r="K9" s="5" t="n">
        <v>0.318</v>
      </c>
      <c r="L9" s="5" t="n">
        <v>0.867</v>
      </c>
      <c r="M9" s="5" t="n">
        <v>0.097</v>
      </c>
      <c r="N9" s="6" t="n">
        <v>1.46</v>
      </c>
      <c r="O9" s="6" t="n">
        <v>9.02</v>
      </c>
      <c r="P9" s="6" t="n">
        <v>12.7</v>
      </c>
      <c r="Q9" s="3" t="n">
        <v>92340</v>
      </c>
      <c r="R9" s="3" t="n">
        <v>8947</v>
      </c>
      <c r="S9" s="3" t="n">
        <v>976</v>
      </c>
      <c r="T9" s="3" t="n">
        <v>421</v>
      </c>
      <c r="U9" s="5" t="n">
        <v>0.759</v>
      </c>
      <c r="V9" s="5" t="n">
        <v>0.114</v>
      </c>
      <c r="W9" s="8" t="n">
        <v>0.4412</v>
      </c>
      <c r="X9" s="8" t="n">
        <v>0.3206</v>
      </c>
      <c r="Y9" s="2" t="inlineStr">
        <is>
          <t>图文为主</t>
        </is>
      </c>
      <c r="Z9" s="3" t="n">
        <v>5</v>
      </c>
    </row>
    <row r="10">
      <c r="A10" s="2" t="inlineStr">
        <is>
          <t>走走停停Vlog</t>
        </is>
      </c>
      <c r="B10" s="2" t="inlineStr">
        <is>
          <t>99134720</t>
        </is>
      </c>
      <c r="C10" s="2" t="n"/>
      <c r="D10" s="2" t="inlineStr">
        <is>
          <t>N</t>
        </is>
      </c>
      <c r="E10" s="3" t="n">
        <v>6900</v>
      </c>
      <c r="F10" s="3" t="n">
        <v>12000</v>
      </c>
      <c r="G10" s="2" t="inlineStr">
        <is>
          <t>Lifestyle</t>
        </is>
      </c>
      <c r="H10" s="2" t="inlineStr">
        <is>
          <t>T4</t>
        </is>
      </c>
      <c r="I10" s="4" t="n">
        <v>7.2</v>
      </c>
      <c r="J10" s="5" t="n">
        <v>0.35</v>
      </c>
      <c r="K10" s="5" t="n">
        <v>0.06</v>
      </c>
      <c r="L10" s="5" t="n">
        <v>0.884</v>
      </c>
      <c r="M10" s="5" t="n">
        <v>0.052</v>
      </c>
      <c r="N10" s="6" t="n">
        <v>1.31</v>
      </c>
      <c r="O10" s="6" t="n">
        <v>13.8</v>
      </c>
      <c r="P10" s="7" t="inlineStr">
        <is>
          <t>-</t>
        </is>
      </c>
      <c r="Q10" s="3" t="n">
        <v>52706</v>
      </c>
      <c r="R10" s="3" t="n">
        <v>5268</v>
      </c>
      <c r="S10" s="3" t="n">
        <v>500</v>
      </c>
      <c r="T10" s="3" t="n">
        <v>213</v>
      </c>
      <c r="U10" s="5" t="n">
        <v>0.834</v>
      </c>
      <c r="V10" s="5" t="n">
        <v>0.049</v>
      </c>
      <c r="W10" s="7" t="inlineStr">
        <is>
          <t>-</t>
        </is>
      </c>
      <c r="X10" s="7" t="inlineStr">
        <is>
          <t>-</t>
        </is>
      </c>
      <c r="Y10" s="2" t="inlineStr">
        <is>
          <t>vlog为主</t>
        </is>
      </c>
      <c r="Z10" s="3" t="n">
        <v>8</v>
      </c>
    </row>
    <row r="11">
      <c r="A11" s="2" t="inlineStr">
        <is>
          <t>成分党阿澈</t>
        </is>
      </c>
      <c r="B11" s="2" t="inlineStr">
        <is>
          <t>77881290</t>
        </is>
      </c>
      <c r="C11" s="2" t="n"/>
      <c r="D11" s="2" t="inlineStr">
        <is>
          <t>Y</t>
        </is>
      </c>
      <c r="E11" s="3" t="n">
        <v>9900</v>
      </c>
      <c r="F11" s="7" t="n"/>
      <c r="G11" s="2" t="inlineStr">
        <is>
          <t>Beauty</t>
        </is>
      </c>
      <c r="H11" s="2" t="inlineStr">
        <is>
          <t>T3</t>
        </is>
      </c>
      <c r="I11" s="4" t="n">
        <v>13.5</v>
      </c>
      <c r="J11" s="5" t="n">
        <v>0.548</v>
      </c>
      <c r="K11" s="5" t="n">
        <v>0.027</v>
      </c>
      <c r="L11" s="5" t="n">
        <v>0.917</v>
      </c>
      <c r="M11" s="5" t="n">
        <v>0.171</v>
      </c>
      <c r="N11" s="6" t="n">
        <v>0.77</v>
      </c>
      <c r="O11" s="6" t="n">
        <v>6.85</v>
      </c>
      <c r="P11" s="6" t="n">
        <v>8.02</v>
      </c>
      <c r="Q11" s="3" t="n">
        <v>78041</v>
      </c>
      <c r="R11" s="3" t="n">
        <v>13346</v>
      </c>
      <c r="S11" s="3" t="n">
        <v>1446</v>
      </c>
      <c r="T11" s="3" t="n">
        <v>1063</v>
      </c>
      <c r="U11" s="5" t="n">
        <v>0.698</v>
      </c>
      <c r="V11" s="5" t="n">
        <v>0.156</v>
      </c>
      <c r="W11" s="8" t="n">
        <v>0.7318</v>
      </c>
      <c r="X11" s="8" t="n">
        <v>0.5854</v>
      </c>
      <c r="Y11" s="2" t="inlineStr">
        <is>
          <t>图文为主</t>
        </is>
      </c>
      <c r="Z11" s="3" t="n">
        <v>5</v>
      </c>
    </row>
    <row r="12">
      <c r="A12" s="2" t="inlineStr">
        <is>
          <t>慢生活收藏家</t>
        </is>
      </c>
      <c r="B12" s="2" t="inlineStr">
        <is>
          <t>56170033</t>
        </is>
      </c>
      <c r="C12" s="2" t="n"/>
      <c r="D12" s="2" t="inlineStr">
        <is>
          <t>N</t>
        </is>
      </c>
      <c r="E12" s="3" t="n">
        <v>5600</v>
      </c>
      <c r="F12" s="3" t="n">
        <v>9800</v>
      </c>
      <c r="G12" s="2" t="inlineStr">
        <is>
          <t>Lifestyle</t>
        </is>
      </c>
      <c r="H12" s="2" t="inlineStr">
        <is>
          <t>T4</t>
        </is>
      </c>
      <c r="I12" s="4" t="n">
        <v>6.8</v>
      </c>
      <c r="J12" s="5" t="n">
        <v>0.401</v>
      </c>
      <c r="K12" s="5" t="n">
        <v>0.048</v>
      </c>
      <c r="L12" s="5" t="n">
        <v>0.895</v>
      </c>
      <c r="M12" s="5" t="n">
        <v>0.061</v>
      </c>
      <c r="N12" s="6" t="n">
        <v>1.08</v>
      </c>
      <c r="O12" s="6" t="n">
        <v>10.4</v>
      </c>
      <c r="P12" s="6" t="n">
        <v>13.6</v>
      </c>
      <c r="Q12" s="3" t="n">
        <v>46529</v>
      </c>
      <c r="R12" s="3" t="n">
        <v>2838</v>
      </c>
      <c r="S12" s="3" t="n">
        <v>538</v>
      </c>
      <c r="T12" s="3" t="n">
        <v>310</v>
      </c>
      <c r="U12" s="5" t="n">
        <v>0.853</v>
      </c>
      <c r="V12" s="5" t="n">
        <v>0.037</v>
      </c>
      <c r="W12" s="8" t="n">
        <v>0.3121</v>
      </c>
      <c r="X12" s="7" t="inlineStr">
        <is>
          <t>-</t>
        </is>
      </c>
      <c r="Y12" s="2" t="inlineStr">
        <is>
          <t>vlog为主</t>
        </is>
      </c>
      <c r="Z12" s="3" t="n">
        <v>3</v>
      </c>
    </row>
    <row r="13">
      <c r="A13" s="2" t="inlineStr">
        <is>
          <t>Kiki的化妆台</t>
        </is>
      </c>
      <c r="B13" s="2" t="inlineStr">
        <is>
          <t>88906612</t>
        </is>
      </c>
      <c r="C13" s="2" t="inlineStr">
        <is>
          <t>声量文化</t>
        </is>
      </c>
      <c r="D13" s="2" t="inlineStr">
        <is>
          <t>N</t>
        </is>
      </c>
      <c r="E13" s="3" t="n">
        <v>21000</v>
      </c>
      <c r="F13" s="3" t="n">
        <v>32000</v>
      </c>
      <c r="G13" s="2" t="inlineStr">
        <is>
          <t>Beauty</t>
        </is>
      </c>
      <c r="H13" s="2" t="inlineStr">
        <is>
          <t>T2</t>
        </is>
      </c>
      <c r="I13" s="4" t="n">
        <v>33.6</v>
      </c>
      <c r="J13" s="5" t="n">
        <v>0.371</v>
      </c>
      <c r="K13" s="5" t="n">
        <v>0.043</v>
      </c>
      <c r="L13" s="5" t="n">
        <v>0.948</v>
      </c>
      <c r="M13" s="5" t="n">
        <v>0.094</v>
      </c>
      <c r="N13" s="6" t="n">
        <v>1.68</v>
      </c>
      <c r="O13" s="6" t="n">
        <v>15.3</v>
      </c>
      <c r="P13" s="6" t="n">
        <v>13.9</v>
      </c>
      <c r="Q13" s="3" t="n">
        <v>223616</v>
      </c>
      <c r="R13" s="3" t="n">
        <v>21021</v>
      </c>
      <c r="S13" s="3" t="n">
        <v>1373</v>
      </c>
      <c r="T13" s="3" t="n">
        <v>1566</v>
      </c>
      <c r="U13" s="5" t="n">
        <v>0.801</v>
      </c>
      <c r="V13" s="5" t="n">
        <v>0.076</v>
      </c>
      <c r="W13" s="7" t="inlineStr">
        <is>
          <t>-</t>
        </is>
      </c>
      <c r="X13" s="8" t="n">
        <v>0.4752</v>
      </c>
      <c r="Y13" s="2" t="inlineStr">
        <is>
          <t>视频为主</t>
        </is>
      </c>
      <c r="Z13" s="3" t="n">
        <v>9</v>
      </c>
    </row>
    <row r="14">
      <c r="A14" s="2" t="inlineStr">
        <is>
          <t>半糖去冰</t>
        </is>
      </c>
      <c r="B14" s="2" t="inlineStr">
        <is>
          <t>44772210</t>
        </is>
      </c>
      <c r="C14" s="2" t="n"/>
      <c r="D14" s="2" t="inlineStr">
        <is>
          <t>Y</t>
        </is>
      </c>
      <c r="E14" s="3" t="n">
        <v>3900</v>
      </c>
      <c r="F14" s="3" t="n">
        <v>6200</v>
      </c>
      <c r="G14" s="2" t="inlineStr">
        <is>
          <t>Beauty</t>
        </is>
      </c>
      <c r="H14" s="2" t="inlineStr">
        <is>
          <t>T4</t>
        </is>
      </c>
      <c r="I14" s="4" t="n">
        <v>4.3</v>
      </c>
      <c r="J14" s="5" t="n">
        <v>0.615</v>
      </c>
      <c r="K14" s="5" t="n">
        <v>0.014</v>
      </c>
      <c r="L14" s="5" t="n">
        <v>0.9389999999999999</v>
      </c>
      <c r="M14" s="5" t="n">
        <v>0.187</v>
      </c>
      <c r="N14" s="6" t="n">
        <v>0.51</v>
      </c>
      <c r="O14" s="6" t="n">
        <v>4.42</v>
      </c>
      <c r="P14" s="6" t="n">
        <v>6.88</v>
      </c>
      <c r="Q14" s="3" t="n">
        <v>29605</v>
      </c>
      <c r="R14" s="3" t="n">
        <v>5535</v>
      </c>
      <c r="S14" s="3" t="n">
        <v>881</v>
      </c>
      <c r="T14" s="3" t="n">
        <v>602</v>
      </c>
      <c r="U14" s="5" t="n">
        <v>0.727</v>
      </c>
      <c r="V14" s="5" t="n">
        <v>0.08799999999999999</v>
      </c>
      <c r="W14" s="8" t="n">
        <v>0.7704</v>
      </c>
      <c r="X14" s="8" t="n">
        <v>0.6012</v>
      </c>
      <c r="Y14" s="2" t="inlineStr">
        <is>
          <t>图文为主</t>
        </is>
      </c>
      <c r="Z14" s="3" t="n">
        <v>3</v>
      </c>
    </row>
    <row r="15">
      <c r="A15" s="2" t="inlineStr">
        <is>
          <t>温柔炖雪梨</t>
        </is>
      </c>
      <c r="B15" s="2" t="inlineStr">
        <is>
          <t>66331180</t>
        </is>
      </c>
      <c r="C15" s="2" t="n"/>
      <c r="D15" s="2" t="inlineStr">
        <is>
          <t>N</t>
        </is>
      </c>
      <c r="E15" s="3" t="n">
        <v>11500</v>
      </c>
      <c r="F15" s="3" t="n">
        <v>17000</v>
      </c>
      <c r="G15" s="2" t="inlineStr">
        <is>
          <t>Fashion</t>
        </is>
      </c>
      <c r="H15" s="2" t="inlineStr">
        <is>
          <t>T3</t>
        </is>
      </c>
      <c r="I15" s="4" t="n">
        <v>14.2</v>
      </c>
      <c r="J15" s="5" t="n">
        <v>0.352</v>
      </c>
      <c r="K15" s="5" t="n">
        <v>0.066</v>
      </c>
      <c r="L15" s="5" t="n">
        <v>0.921</v>
      </c>
      <c r="M15" s="5" t="n">
        <v>0.079</v>
      </c>
      <c r="N15" s="6" t="n">
        <v>1.35</v>
      </c>
      <c r="O15" s="6" t="n">
        <v>11.2</v>
      </c>
      <c r="P15" s="6" t="n">
        <v>12.4</v>
      </c>
      <c r="Q15" s="3" t="n">
        <v>128317</v>
      </c>
      <c r="R15" s="3" t="n">
        <v>10143</v>
      </c>
      <c r="S15" s="3" t="n">
        <v>1026</v>
      </c>
      <c r="T15" s="3" t="n">
        <v>517</v>
      </c>
      <c r="U15" s="5" t="n">
        <v>0.783</v>
      </c>
      <c r="V15" s="5" t="n">
        <v>0.058</v>
      </c>
      <c r="W15" s="8" t="n">
        <v>0.4033</v>
      </c>
      <c r="X15" s="8" t="n">
        <v>0.3341</v>
      </c>
      <c r="Y15" s="2" t="inlineStr">
        <is>
          <t>图文视频均衡</t>
        </is>
      </c>
      <c r="Z15" s="3" t="n">
        <v>6</v>
      </c>
    </row>
    <row r="16">
      <c r="A16" s="2" t="inlineStr">
        <is>
          <t>大大的小日子</t>
        </is>
      </c>
      <c r="B16" s="2" t="inlineStr">
        <is>
          <t>55668877</t>
        </is>
      </c>
      <c r="C16" s="2" t="n"/>
      <c r="D16" s="2" t="inlineStr">
        <is>
          <t>N</t>
        </is>
      </c>
      <c r="E16" s="3" t="n">
        <v>7800</v>
      </c>
      <c r="F16" s="3" t="n">
        <v>12500</v>
      </c>
      <c r="G16" s="2" t="inlineStr">
        <is>
          <t>Mother&amp;Baby</t>
        </is>
      </c>
      <c r="H16" s="2" t="inlineStr">
        <is>
          <t>T3</t>
        </is>
      </c>
      <c r="I16" s="4" t="n">
        <v>16.9</v>
      </c>
      <c r="J16" s="5" t="n">
        <v>0.283</v>
      </c>
      <c r="K16" s="5" t="n">
        <v>0.192</v>
      </c>
      <c r="L16" s="5" t="n">
        <v>0.912</v>
      </c>
      <c r="M16" s="5" t="n">
        <v>0.08599999999999999</v>
      </c>
      <c r="N16" s="6" t="n">
        <v>1.12</v>
      </c>
      <c r="O16" s="6" t="n">
        <v>10.9</v>
      </c>
      <c r="P16" s="6" t="n">
        <v>11.8</v>
      </c>
      <c r="Q16" s="3" t="n">
        <v>119076</v>
      </c>
      <c r="R16" s="3" t="n">
        <v>10244</v>
      </c>
      <c r="S16" s="3" t="n">
        <v>1162</v>
      </c>
      <c r="T16" s="3" t="n">
        <v>954</v>
      </c>
      <c r="U16" s="5" t="n">
        <v>0.771</v>
      </c>
      <c r="V16" s="5" t="n">
        <v>0.06900000000000001</v>
      </c>
      <c r="W16" s="8" t="n">
        <v>0.3509</v>
      </c>
      <c r="X16" s="8" t="n">
        <v>0.2968</v>
      </c>
      <c r="Y16" s="2" t="inlineStr">
        <is>
          <t>图文视频均衡</t>
        </is>
      </c>
      <c r="Z16" s="3" t="n">
        <v>5</v>
      </c>
    </row>
    <row r="17">
      <c r="A17" s="2" t="inlineStr">
        <is>
          <t>凌晨四点的厨房</t>
        </is>
      </c>
      <c r="B17" s="2" t="inlineStr">
        <is>
          <t>33449080</t>
        </is>
      </c>
      <c r="C17" s="2" t="n"/>
      <c r="D17" s="2" t="inlineStr">
        <is>
          <t>Y</t>
        </is>
      </c>
      <c r="E17" s="3" t="n">
        <v>5200</v>
      </c>
      <c r="F17" s="3" t="n">
        <v>8800</v>
      </c>
      <c r="G17" s="2" t="inlineStr">
        <is>
          <t>Food</t>
        </is>
      </c>
      <c r="H17" s="2" t="inlineStr">
        <is>
          <t>T4</t>
        </is>
      </c>
      <c r="I17" s="4" t="n">
        <v>9.6</v>
      </c>
      <c r="J17" s="5" t="n">
        <v>0.467</v>
      </c>
      <c r="K17" s="5" t="n">
        <v>0.033</v>
      </c>
      <c r="L17" s="5" t="n">
        <v>0.793</v>
      </c>
      <c r="M17" s="5" t="n">
        <v>0.068</v>
      </c>
      <c r="N17" s="6" t="n">
        <v>0.96</v>
      </c>
      <c r="O17" s="6" t="n">
        <v>8.699999999999999</v>
      </c>
      <c r="P17" s="7" t="inlineStr">
        <is>
          <t>-</t>
        </is>
      </c>
      <c r="Q17" s="3" t="n">
        <v>61189</v>
      </c>
      <c r="R17" s="3" t="n">
        <v>4161</v>
      </c>
      <c r="S17" s="3" t="n">
        <v>598</v>
      </c>
      <c r="T17" s="7" t="inlineStr">
        <is>
          <t>-</t>
        </is>
      </c>
      <c r="U17" s="5" t="n">
        <v>0.8070000000000001</v>
      </c>
      <c r="V17" s="5" t="n">
        <v>0.041</v>
      </c>
      <c r="W17" s="7" t="inlineStr">
        <is>
          <t>-</t>
        </is>
      </c>
      <c r="X17" s="7" t="inlineStr">
        <is>
          <t>-</t>
        </is>
      </c>
      <c r="Y17" s="2" t="inlineStr">
        <is>
          <t>图文为主</t>
        </is>
      </c>
      <c r="Z17" s="3" t="n">
        <v>2</v>
      </c>
    </row>
    <row r="18">
      <c r="A18" s="2" t="inlineStr">
        <is>
          <t>Luna的深夜书桌</t>
        </is>
      </c>
      <c r="B18" s="2" t="inlineStr">
        <is>
          <t>22335566</t>
        </is>
      </c>
      <c r="C18" s="2" t="n"/>
      <c r="D18" s="2" t="inlineStr">
        <is>
          <t>Y</t>
        </is>
      </c>
      <c r="E18" s="7" t="n"/>
      <c r="F18" s="7" t="n"/>
      <c r="G18" s="2" t="inlineStr">
        <is>
          <t>Lifestyle</t>
        </is>
      </c>
      <c r="H18" s="2" t="inlineStr">
        <is>
          <t>T4</t>
        </is>
      </c>
      <c r="I18" s="4" t="n">
        <v>5.7</v>
      </c>
      <c r="J18" s="5" t="n">
        <v>0.602</v>
      </c>
      <c r="K18" s="5" t="n">
        <v>0.018</v>
      </c>
      <c r="L18" s="5" t="n">
        <v>0.928</v>
      </c>
      <c r="M18" s="5" t="n">
        <v>0.138</v>
      </c>
      <c r="N18" s="6" t="n">
        <v>0.72</v>
      </c>
      <c r="O18" s="6" t="n">
        <v>6.31</v>
      </c>
      <c r="P18" s="6" t="n">
        <v>7.9</v>
      </c>
      <c r="Q18" s="3" t="n">
        <v>34486</v>
      </c>
      <c r="R18" s="3" t="n">
        <v>4761</v>
      </c>
      <c r="S18" s="3" t="n">
        <v>822</v>
      </c>
      <c r="T18" s="3" t="n">
        <v>655</v>
      </c>
      <c r="U18" s="5" t="n">
        <v>0.736</v>
      </c>
      <c r="V18" s="5" t="n">
        <v>0.094</v>
      </c>
      <c r="W18" s="8" t="n">
        <v>0.6822</v>
      </c>
      <c r="X18" s="8" t="n">
        <v>0.5237000000000001</v>
      </c>
      <c r="Y18" s="2" t="inlineStr">
        <is>
          <t>图文为主</t>
        </is>
      </c>
      <c r="Z18" s="3" t="n">
        <v>4</v>
      </c>
    </row>
    <row r="19">
      <c r="A19" s="2" t="inlineStr">
        <is>
          <t>阿欣的平价护肤</t>
        </is>
      </c>
      <c r="B19" s="2" t="inlineStr">
        <is>
          <t>11023345</t>
        </is>
      </c>
      <c r="C19" s="2" t="n"/>
      <c r="D19" s="2" t="inlineStr">
        <is>
          <t>Y</t>
        </is>
      </c>
      <c r="E19" s="3" t="n">
        <v>6500</v>
      </c>
      <c r="F19" s="3" t="n">
        <v>9900</v>
      </c>
      <c r="G19" s="2" t="inlineStr">
        <is>
          <t>Beauty</t>
        </is>
      </c>
      <c r="H19" s="2" t="inlineStr">
        <is>
          <t>T4</t>
        </is>
      </c>
      <c r="I19" s="4" t="n">
        <v>7.8</v>
      </c>
      <c r="J19" s="5" t="n">
        <v>0.589</v>
      </c>
      <c r="K19" s="5" t="n">
        <v>0.021</v>
      </c>
      <c r="L19" s="5" t="n">
        <v>0.9340000000000001</v>
      </c>
      <c r="M19" s="5" t="n">
        <v>0.102</v>
      </c>
      <c r="N19" s="6" t="n">
        <v>0.83</v>
      </c>
      <c r="O19" s="6" t="n">
        <v>7.15</v>
      </c>
      <c r="P19" s="6" t="n">
        <v>9.33</v>
      </c>
      <c r="Q19" s="3" t="n">
        <v>71092</v>
      </c>
      <c r="R19" s="3" t="n">
        <v>7251</v>
      </c>
      <c r="S19" s="3" t="n">
        <v>909</v>
      </c>
      <c r="T19" s="3" t="n">
        <v>488</v>
      </c>
      <c r="U19" s="5" t="n">
        <v>0.742</v>
      </c>
      <c r="V19" s="5" t="n">
        <v>0.107</v>
      </c>
      <c r="W19" s="8" t="n">
        <v>0.6552</v>
      </c>
      <c r="X19" s="8" t="n">
        <v>0.4988</v>
      </c>
      <c r="Y19" s="2" t="inlineStr">
        <is>
          <t>图文为主</t>
        </is>
      </c>
      <c r="Z19" s="3" t="n">
        <v>6</v>
      </c>
    </row>
    <row r="20">
      <c r="A20" s="2" t="inlineStr">
        <is>
          <t>Vivian姐的穿搭经</t>
        </is>
      </c>
      <c r="B20" s="2" t="inlineStr">
        <is>
          <t>90801123</t>
        </is>
      </c>
      <c r="C20" s="2" t="inlineStr">
        <is>
          <t>星潮文化</t>
        </is>
      </c>
      <c r="D20" s="2" t="inlineStr">
        <is>
          <t>N</t>
        </is>
      </c>
      <c r="E20" s="3" t="n">
        <v>18500</v>
      </c>
      <c r="F20" s="3" t="n">
        <v>26000</v>
      </c>
      <c r="G20" s="2" t="inlineStr">
        <is>
          <t>Fashion</t>
        </is>
      </c>
      <c r="H20" s="2" t="inlineStr">
        <is>
          <t>T2</t>
        </is>
      </c>
      <c r="I20" s="4" t="n">
        <v>26.8</v>
      </c>
      <c r="J20" s="5" t="n">
        <v>0.174</v>
      </c>
      <c r="K20" s="5" t="n">
        <v>0.283</v>
      </c>
      <c r="L20" s="5" t="n">
        <v>0.906</v>
      </c>
      <c r="M20" s="5" t="n">
        <v>0.07199999999999999</v>
      </c>
      <c r="N20" s="6" t="n">
        <v>2.05</v>
      </c>
      <c r="O20" s="6" t="n">
        <v>24.6</v>
      </c>
      <c r="P20" s="6" t="n">
        <v>21.7</v>
      </c>
      <c r="Q20" s="3" t="n">
        <v>257144</v>
      </c>
      <c r="R20" s="3" t="n">
        <v>18514</v>
      </c>
      <c r="S20" s="3" t="n">
        <v>752</v>
      </c>
      <c r="T20" s="3" t="n">
        <v>609</v>
      </c>
      <c r="U20" s="5" t="n">
        <v>0.8169999999999999</v>
      </c>
      <c r="V20" s="5" t="n">
        <v>0.045</v>
      </c>
      <c r="W20" s="7" t="inlineStr">
        <is>
          <t>-</t>
        </is>
      </c>
      <c r="X20" s="7" t="inlineStr">
        <is>
          <t>-</t>
        </is>
      </c>
      <c r="Y20" s="2" t="inlineStr">
        <is>
          <t>图文视频均衡</t>
        </is>
      </c>
      <c r="Z20" s="3" t="n">
        <v>7</v>
      </c>
    </row>
    <row r="21">
      <c r="A21" s="2" t="inlineStr">
        <is>
          <t>小周不熬夜</t>
        </is>
      </c>
      <c r="B21" s="2" t="inlineStr">
        <is>
          <t>33907712</t>
        </is>
      </c>
      <c r="C21" s="2" t="n"/>
      <c r="D21" s="2" t="inlineStr">
        <is>
          <t>Y</t>
        </is>
      </c>
      <c r="E21" s="3" t="n">
        <v>8200</v>
      </c>
      <c r="F21" s="3" t="n">
        <v>12800</v>
      </c>
      <c r="G21" s="2" t="inlineStr">
        <is>
          <t>Beauty</t>
        </is>
      </c>
      <c r="H21" s="2" t="inlineStr">
        <is>
          <t>T3</t>
        </is>
      </c>
      <c r="I21" s="4" t="n">
        <v>10.2</v>
      </c>
      <c r="J21" s="5" t="n">
        <v>0.556</v>
      </c>
      <c r="K21" s="5" t="n">
        <v>0.025</v>
      </c>
      <c r="L21" s="5" t="n">
        <v>0.9429999999999999</v>
      </c>
      <c r="M21" s="5" t="n">
        <v>0.121</v>
      </c>
      <c r="N21" s="6" t="n">
        <v>0.88</v>
      </c>
      <c r="O21" s="6" t="n">
        <v>7.64</v>
      </c>
      <c r="P21" s="6" t="n">
        <v>8.550000000000001</v>
      </c>
      <c r="Q21" s="3" t="n">
        <v>81937</v>
      </c>
      <c r="R21" s="3" t="n">
        <v>9913</v>
      </c>
      <c r="S21" s="3" t="n">
        <v>1073</v>
      </c>
      <c r="T21" s="3" t="n">
        <v>1352</v>
      </c>
      <c r="U21" s="5" t="n">
        <v>0.759</v>
      </c>
      <c r="V21" s="5" t="n">
        <v>0.118</v>
      </c>
      <c r="W21" s="8" t="n">
        <v>0.6881</v>
      </c>
      <c r="X21" s="8" t="n">
        <v>0.5309</v>
      </c>
      <c r="Y21" s="2" t="inlineStr">
        <is>
          <t>图文为主</t>
        </is>
      </c>
      <c r="Z21" s="3" t="n">
        <v>5</v>
      </c>
    </row>
  </sheetData>
  <autoFilter ref="A1:Z21"/>
  <conditionalFormatting sqref="M2:M21">
    <cfRule type="cellIs" priority="1" operator="lessThan" dxfId="0">
      <formula>0.05</formula>
    </cfRule>
  </conditionalFormatting>
  <conditionalFormatting sqref="L2:L21">
    <cfRule type="cellIs" priority="2" operator="lessThan" dxfId="0">
      <formula>0.80</formula>
    </cfRule>
  </conditionalFormatting>
  <conditionalFormatting sqref="E2:F21">
    <cfRule type="expression" priority="3" dxfId="1">
      <formula>ISBLANK(E2)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2" max="2"/>
  </cols>
  <sheetData>
    <row r="1">
      <c r="A1" s="9" t="inlineStr">
        <is>
          <t>达人昵称 / 小红书号</t>
        </is>
      </c>
      <c r="B1" s="10" t="inlineStr">
        <is>
          <t>达人身份标识，来自蒲公英博主详情页</t>
        </is>
      </c>
    </row>
    <row r="2">
      <c r="A2" s="9" t="inlineStr">
        <is>
          <t>所属机构（MCN）</t>
        </is>
      </c>
      <c r="B2" s="10" t="inlineStr">
        <is>
          <t>为空表示无机构挂靠；机构号常表现为商单密集、内容偏官方口吻</t>
        </is>
      </c>
    </row>
    <row r="3">
      <c r="A3" s="9" t="inlineStr">
        <is>
          <t>是否New KOL</t>
        </is>
      </c>
      <c r="B3" s="10" t="inlineStr">
        <is>
          <t>Y=近3个月未与屿光合作过；甲方本轮明确优先</t>
        </is>
      </c>
    </row>
    <row r="4">
      <c r="A4" s="9" t="inlineStr">
        <is>
          <t>平台图文/视频参考价</t>
        </is>
      </c>
      <c r="B4" s="10" t="inlineStr">
        <is>
          <t>蒲公英一口价报价，不含投流；空白=未挂牌，需线下核价（黄色底标记）</t>
        </is>
      </c>
    </row>
    <row r="5">
      <c r="A5" s="9" t="inlineStr">
        <is>
          <t>Type（内容类目）</t>
        </is>
      </c>
      <c r="B5" s="10" t="inlineStr">
        <is>
          <t>内容垂类，Beauty=美妆护肤；与产品相关性越强内容契合度越高</t>
        </is>
      </c>
    </row>
    <row r="6">
      <c r="A6" s="9" t="inlineStr">
        <is>
          <t>Tier</t>
        </is>
      </c>
      <c r="B6" s="10" t="inlineStr">
        <is>
          <t>平台流量层级，T1最高、T4最低，与报价强相关</t>
        </is>
      </c>
    </row>
    <row r="7">
      <c r="A7" s="9" t="inlineStr">
        <is>
          <t>粉丝数（万）</t>
        </is>
      </c>
      <c r="B7" s="10" t="inlineStr">
        <is>
          <t>当前粉丝量规模</t>
        </is>
      </c>
    </row>
    <row r="8">
      <c r="A8" s="9" t="inlineStr">
        <is>
          <t>18-24岁 / ＞44岁粉丝占比</t>
        </is>
      </c>
      <c r="B8" s="10" t="inlineStr">
        <is>
          <t>人群匹配核心列：目标人群18-30岁看前者；＞44偏高视为年龄错配</t>
        </is>
      </c>
    </row>
    <row r="9">
      <c r="A9" s="9" t="inlineStr">
        <is>
          <t>女粉占比</t>
        </is>
      </c>
      <c r="B9" s="10" t="inlineStr">
        <is>
          <t>女性向产品，低于80%视为人群偏离（红字标记）</t>
        </is>
      </c>
    </row>
    <row r="10">
      <c r="A10" s="9" t="inlineStr">
        <is>
          <t>CTR</t>
        </is>
      </c>
      <c r="B10" s="10" t="inlineStr">
        <is>
          <t>合作笔记阅读数÷曝光数，反映封面与标题吸引力；低于5%标记红字</t>
        </is>
      </c>
    </row>
    <row r="11">
      <c r="A11" s="9" t="inlineStr">
        <is>
          <t>CPV（元）</t>
        </is>
      </c>
      <c r="B11" s="10" t="inlineStr">
        <is>
          <t>每次阅读的成本，报价÷阅读数口径</t>
        </is>
      </c>
    </row>
    <row r="12">
      <c r="A12" s="9" t="inlineStr">
        <is>
          <t>合作笔记平均CPE（元）</t>
        </is>
      </c>
      <c r="B12" s="10" t="inlineStr">
        <is>
          <t>每次互动（赞藏评）的成本；甲方KPI要求整体≤¥25</t>
        </is>
      </c>
    </row>
    <row r="13">
      <c r="A13" s="9" t="inlineStr">
        <is>
          <t>蒲公英前选CPUV（元）</t>
        </is>
      </c>
      <c r="B13" s="10" t="inlineStr">
        <is>
          <t>前选工具的有效阅读成本；"-"=无近期数据</t>
        </is>
      </c>
    </row>
    <row r="14">
      <c r="A14" s="9" t="inlineStr">
        <is>
          <t>曝光/阅读/互动中位值</t>
        </is>
      </c>
      <c r="B14" s="10" t="inlineStr">
        <is>
          <t>近30天合作笔记仅自然流量中位数；近30天无合作笔记时应换近90天数据</t>
        </is>
      </c>
    </row>
    <row r="15">
      <c r="A15" s="9" t="inlineStr">
        <is>
          <t>外溢进店中位数</t>
        </is>
      </c>
      <c r="B15" s="10" t="inlineStr">
        <is>
          <t>看完笔记进入品牌店铺人数（近30天全流量）；"-"=无近期合作笔记</t>
        </is>
      </c>
    </row>
    <row r="16">
      <c r="A16" s="9" t="inlineStr">
        <is>
          <t>阅读来源-发现页/搜索页占比</t>
        </is>
      </c>
      <c r="B16" s="10" t="inlineStr">
        <is>
          <t>流量结构；搜索占比高代表长尾种草与搜索卡位能力</t>
        </is>
      </c>
    </row>
    <row r="17">
      <c r="A17" s="9" t="inlineStr">
        <is>
          <t>前选CPV优于行业top50%</t>
        </is>
      </c>
      <c r="B17" s="10" t="inlineStr">
        <is>
          <t>成本优于同行业同层博主的比例，越高性价比越好；"-"=无数据</t>
        </is>
      </c>
    </row>
    <row r="18">
      <c r="A18" s="9" t="inlineStr">
        <is>
          <t>主营内容形式</t>
        </is>
      </c>
      <c r="B18" s="10" t="inlineStr">
        <is>
          <t>vlog为主=生活记录向；甲方排除项之一</t>
        </is>
      </c>
    </row>
    <row r="19">
      <c r="A19" s="9" t="inlineStr">
        <is>
          <t>近90天合作笔记数</t>
        </is>
      </c>
      <c r="B19" s="10" t="inlineStr">
        <is>
          <t>商单密度：过高=接单饱和，过低=更新少或商业内容少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屿光投放_蒲公英达人数据（模拟）</dc:title>
  <dcterms:created xsi:type="dcterms:W3CDTF">2026-09-29T01:01:25Z</dcterms:created>
  <dcterms:modified xsi:type="dcterms:W3CDTF">2026-09-29T01:01:25Z</dcterms:modified>
</cp:coreProperties>
</file>